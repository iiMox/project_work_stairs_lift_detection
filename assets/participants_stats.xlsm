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Mou\Desktop\project_work_stairs_lift_detection\"/>
    </mc:Choice>
  </mc:AlternateContent>
  <xr:revisionPtr revIDLastSave="0" documentId="13_ncr:1_{66D3A354-B604-4821-BF2A-9314FB19B394}" xr6:coauthVersionLast="47" xr6:coauthVersionMax="47" xr10:uidLastSave="{00000000-0000-0000-0000-000000000000}"/>
  <bookViews>
    <workbookView xWindow="-110" yWindow="-110" windowWidth="38620" windowHeight="21100" xr2:uid="{85E6783E-4567-46B5-868C-561223017C3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0" i="1" l="1"/>
  <c r="C59" i="1"/>
  <c r="C58" i="1"/>
  <c r="K33" i="1"/>
  <c r="J33" i="1"/>
  <c r="G33" i="1"/>
  <c r="F33" i="1"/>
  <c r="G7" i="1"/>
  <c r="G8" i="1"/>
  <c r="G9" i="1"/>
  <c r="G10" i="1"/>
  <c r="G11" i="1"/>
  <c r="G12" i="1"/>
  <c r="G59" i="1" s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6" i="1"/>
  <c r="C33" i="1"/>
  <c r="B33" i="1"/>
  <c r="G61" i="1" l="1"/>
  <c r="G58" i="1"/>
  <c r="G60" i="1"/>
</calcChain>
</file>

<file path=xl/sharedStrings.xml><?xml version="1.0" encoding="utf-8"?>
<sst xmlns="http://schemas.openxmlformats.org/spreadsheetml/2006/main" count="85" uniqueCount="25">
  <si>
    <t>Participant N°</t>
  </si>
  <si>
    <t>Gender</t>
  </si>
  <si>
    <t>Age</t>
  </si>
  <si>
    <t>Weight</t>
  </si>
  <si>
    <t>Height</t>
  </si>
  <si>
    <t>Dominant Hand</t>
  </si>
  <si>
    <t>Watch Hand</t>
  </si>
  <si>
    <t>female</t>
  </si>
  <si>
    <t>right</t>
  </si>
  <si>
    <t>left</t>
  </si>
  <si>
    <t>male</t>
  </si>
  <si>
    <t>Male</t>
  </si>
  <si>
    <t>Female</t>
  </si>
  <si>
    <t>BMI</t>
  </si>
  <si>
    <t>Left</t>
  </si>
  <si>
    <t>Right</t>
  </si>
  <si>
    <t>Category</t>
  </si>
  <si>
    <t>Participants</t>
  </si>
  <si>
    <t>18 - 30</t>
  </si>
  <si>
    <t>30 - 50</t>
  </si>
  <si>
    <t>50 - 70</t>
  </si>
  <si>
    <t>&lt; 18.5</t>
  </si>
  <si>
    <t>18.5 - 25</t>
  </si>
  <si>
    <t>25 - 30</t>
  </si>
  <si>
    <t>&gt;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</si>
</sst>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43" fontId="0" fillId="0" borderId="1" xfId="1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gender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21BA-43EF-AE35-42C0C98144F6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21BA-43EF-AE35-42C0C98144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Sheet1!$B$32:$C$32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Sheet1!$B$33:$C$33</c:f>
              <c:numCache>
                <c:formatCode>0.00%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0-4AED-A8D8-1AC7D7C9E4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Dominant hand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5BCB-4BE8-9603-71C9D28C19A8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5BCB-4BE8-9603-71C9D28C19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Sheet1!$F$32:$G$32</c:f>
              <c:strCache>
                <c:ptCount val="2"/>
                <c:pt idx="0">
                  <c:v>Left</c:v>
                </c:pt>
                <c:pt idx="1">
                  <c:v>Right</c:v>
                </c:pt>
              </c:strCache>
            </c:strRef>
          </c:cat>
          <c:val>
            <c:numRef>
              <c:f>Sheet1!$F$33:$G$33</c:f>
              <c:numCache>
                <c:formatCode>0.00%</c:formatCode>
                <c:ptCount val="2"/>
                <c:pt idx="0">
                  <c:v>0.05</c:v>
                </c:pt>
                <c:pt idx="1">
                  <c:v>0.95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B-4BE8-9603-71C9D28C19A8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Watch Hand</a:t>
            </a:r>
          </a:p>
        </c:rich>
      </c:tx>
      <c:layout>
        <c:manualLayout>
          <c:xMode val="edge"/>
          <c:yMode val="edge"/>
          <c:x val="0.34219444444444447"/>
          <c:y val="2.758620689655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Sheet1!$J$32:$K$32</c:f>
              <c:strCache>
                <c:ptCount val="2"/>
                <c:pt idx="0">
                  <c:v>Left</c:v>
                </c:pt>
                <c:pt idx="1">
                  <c:v>Right</c:v>
                </c:pt>
              </c:strCache>
            </c:strRef>
          </c:cat>
          <c:val>
            <c:numRef>
              <c:f>Sheet1!$J$33:$K$33</c:f>
              <c:numCache>
                <c:formatCode>0.00%</c:formatCode>
                <c:ptCount val="2"/>
                <c:pt idx="0">
                  <c:v>0.9</c:v>
                </c:pt>
                <c:pt idx="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C-4C31-884F-6E6C6027080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Sheet1!$C$57</c:f>
              <c:strCache>
                <c:ptCount val="1"/>
                <c:pt idx="0">
                  <c:v>Participants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Sheet1!$B$58:$B$60</c:f>
              <c:strCache>
                <c:ptCount val="3"/>
                <c:pt idx="0">
                  <c:v>18 - 30</c:v>
                </c:pt>
                <c:pt idx="1">
                  <c:v>30 - 50</c:v>
                </c:pt>
                <c:pt idx="2">
                  <c:v>50 - 70</c:v>
                </c:pt>
              </c:strCache>
            </c:strRef>
          </c:cat>
          <c:val>
            <c:numRef>
              <c:f>Sheet1!$C$58:$C$60</c:f>
              <c:numCache>
                <c:formatCode>General</c:formatCode>
                <c:ptCount val="3"/>
                <c:pt idx="0">
                  <c:v>15</c:v>
                </c:pt>
                <c:pt idx="1">
                  <c:v>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9-4A24-A90B-E56E959D3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96151887"/>
        <c:axId val="96139887"/>
      </c:barChart>
      <c:catAx>
        <c:axId val="96151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139887"/>
        <c:crosses val="autoZero"/>
        <c:auto val="1"/>
        <c:lblAlgn val="ctr"/>
        <c:lblOffset val="100"/>
        <c:noMultiLvlLbl val="0"/>
      </c:catAx>
      <c:valAx>
        <c:axId val="9613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15188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BMI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Sheet1!$G$57</c:f>
              <c:strCache>
                <c:ptCount val="1"/>
                <c:pt idx="0">
                  <c:v>Participants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Sheet1!$F$58:$F$61</c:f>
              <c:strCache>
                <c:ptCount val="4"/>
                <c:pt idx="0">
                  <c:v>&lt; 18.5</c:v>
                </c:pt>
                <c:pt idx="1">
                  <c:v>18.5 - 25</c:v>
                </c:pt>
                <c:pt idx="2">
                  <c:v>25 - 30</c:v>
                </c:pt>
                <c:pt idx="3">
                  <c:v>&gt; 30</c:v>
                </c:pt>
              </c:strCache>
            </c:strRef>
          </c:cat>
          <c:val>
            <c:numRef>
              <c:f>Sheet1!$G$58:$G$61</c:f>
              <c:numCache>
                <c:formatCode>General</c:formatCode>
                <c:ptCount val="4"/>
                <c:pt idx="0">
                  <c:v>0</c:v>
                </c:pt>
                <c:pt idx="1">
                  <c:v>13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F2-431E-AC71-5AD44AFA7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96126927"/>
        <c:axId val="96123087"/>
      </c:barChart>
      <c:catAx>
        <c:axId val="96126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123087"/>
        <c:crosses val="autoZero"/>
        <c:auto val="1"/>
        <c:lblAlgn val="ctr"/>
        <c:lblOffset val="100"/>
        <c:noMultiLvlLbl val="0"/>
      </c:catAx>
      <c:valAx>
        <c:axId val="96123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12692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1431925</xdr:colOff>
      <xdr:row>34</xdr:row>
      <xdr:rowOff>165100</xdr:rowOff>
    </xdr:from>
    <xdr:to>
      <xdr:col>4</xdr:col>
      <xdr:colOff>238125</xdr:colOff>
      <xdr:row>49</xdr:row>
      <xdr:rowOff>146050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783A47F-9DC0-9A21-E091-0C67E3F74D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1419225</xdr:colOff>
      <xdr:row>35</xdr:row>
      <xdr:rowOff>31750</xdr:rowOff>
    </xdr:from>
    <xdr:to>
      <xdr:col>8</xdr:col>
      <xdr:colOff>225425</xdr:colOff>
      <xdr:row>50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CA856F-7CCD-BB7B-34AB-7254C5202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15875</xdr:colOff>
      <xdr:row>35</xdr:row>
      <xdr:rowOff>31750</xdr:rowOff>
    </xdr:from>
    <xdr:to>
      <xdr:col>13</xdr:col>
      <xdr:colOff>485775</xdr:colOff>
      <xdr:row>50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FBEF465-499A-DCA0-5DEA-3536D03B4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12700</xdr:colOff>
      <xdr:row>28</xdr:row>
      <xdr:rowOff>19050</xdr:rowOff>
    </xdr:from>
    <xdr:to>
      <xdr:col>2</xdr:col>
      <xdr:colOff>1422400</xdr:colOff>
      <xdr:row>30</xdr:row>
      <xdr:rowOff>12700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05ADC4B-CB0D-D25E-2CDF-CBE8726982F5}"/>
            </a:ext>
          </a:extLst>
        </xdr:cNvPr>
        <xdr:cNvSpPr txBox="1"/>
      </xdr:nvSpPr>
      <xdr:spPr>
        <a:xfrm>
          <a:off x="1454150" y="6648450"/>
          <a:ext cx="2851150" cy="361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latin typeface="Segoe UI" panose="020B0502040204020203" pitchFamily="34" charset="0"/>
              <a:cs typeface="Segoe UI" panose="020B0502040204020203" pitchFamily="34" charset="0"/>
            </a:rPr>
            <a:t>Gender Graph:</a:t>
          </a:r>
        </a:p>
      </xdr:txBody>
    </xdr:sp>
    <xdr:clientData/>
  </xdr:twoCellAnchor>
  <xdr:twoCellAnchor>
    <xdr:from>
      <xdr:col>5</xdr:col>
      <xdr:colOff>12700</xdr:colOff>
      <xdr:row>28</xdr:row>
      <xdr:rowOff>6350</xdr:rowOff>
    </xdr:from>
    <xdr:to>
      <xdr:col>6</xdr:col>
      <xdr:colOff>1422400</xdr:colOff>
      <xdr:row>30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2DB399E-2040-4C11-9EEF-7660DE88EA22}"/>
            </a:ext>
          </a:extLst>
        </xdr:cNvPr>
        <xdr:cNvSpPr txBox="1"/>
      </xdr:nvSpPr>
      <xdr:spPr>
        <a:xfrm>
          <a:off x="7219950" y="6635750"/>
          <a:ext cx="2851150" cy="361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latin typeface="Segoe UI" panose="020B0502040204020203" pitchFamily="34" charset="0"/>
              <a:cs typeface="Segoe UI" panose="020B0502040204020203" pitchFamily="34" charset="0"/>
            </a:rPr>
            <a:t>Dominant Hand:</a:t>
          </a:r>
        </a:p>
      </xdr:txBody>
    </xdr:sp>
    <xdr:clientData/>
  </xdr:twoCellAnchor>
  <xdr:twoCellAnchor>
    <xdr:from>
      <xdr:col>9</xdr:col>
      <xdr:colOff>0</xdr:colOff>
      <xdr:row>28</xdr:row>
      <xdr:rowOff>6350</xdr:rowOff>
    </xdr:from>
    <xdr:to>
      <xdr:col>10</xdr:col>
      <xdr:colOff>1409700</xdr:colOff>
      <xdr:row>30</xdr:row>
      <xdr:rowOff>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8C184A8-C5DD-4BB7-9C4F-3101E9C5D0C7}"/>
            </a:ext>
          </a:extLst>
        </xdr:cNvPr>
        <xdr:cNvSpPr txBox="1"/>
      </xdr:nvSpPr>
      <xdr:spPr>
        <a:xfrm>
          <a:off x="12973050" y="6635750"/>
          <a:ext cx="2851150" cy="361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latin typeface="Segoe UI" panose="020B0502040204020203" pitchFamily="34" charset="0"/>
              <a:cs typeface="Segoe UI" panose="020B0502040204020203" pitchFamily="34" charset="0"/>
            </a:rPr>
            <a:t>Watch</a:t>
          </a:r>
          <a:r>
            <a:rPr lang="en-US" sz="1200" b="1" baseline="0">
              <a:latin typeface="Segoe UI" panose="020B0502040204020203" pitchFamily="34" charset="0"/>
              <a:cs typeface="Segoe UI" panose="020B0502040204020203" pitchFamily="34" charset="0"/>
            </a:rPr>
            <a:t> Hand</a:t>
          </a:r>
          <a:r>
            <a:rPr lang="en-US" sz="1200" b="1">
              <a:latin typeface="Segoe UI" panose="020B0502040204020203" pitchFamily="34" charset="0"/>
              <a:cs typeface="Segoe UI" panose="020B0502040204020203" pitchFamily="34" charset="0"/>
            </a:rPr>
            <a:t>:</a:t>
          </a:r>
        </a:p>
      </xdr:txBody>
    </xdr:sp>
    <xdr:clientData/>
  </xdr:twoCellAnchor>
  <xdr:twoCellAnchor>
    <xdr:from>
      <xdr:col>1</xdr:col>
      <xdr:colOff>0</xdr:colOff>
      <xdr:row>53</xdr:row>
      <xdr:rowOff>12700</xdr:rowOff>
    </xdr:from>
    <xdr:to>
      <xdr:col>2</xdr:col>
      <xdr:colOff>1409700</xdr:colOff>
      <xdr:row>55</xdr:row>
      <xdr:rowOff>6350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3E91DC8B-15E1-4AA4-AAEA-5B1529203203}"/>
            </a:ext>
          </a:extLst>
        </xdr:cNvPr>
        <xdr:cNvSpPr txBox="1"/>
      </xdr:nvSpPr>
      <xdr:spPr>
        <a:xfrm>
          <a:off x="1441450" y="11264900"/>
          <a:ext cx="2851150" cy="361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latin typeface="Segoe UI" panose="020B0502040204020203" pitchFamily="34" charset="0"/>
              <a:cs typeface="Segoe UI" panose="020B0502040204020203" pitchFamily="34" charset="0"/>
            </a:rPr>
            <a:t>Age Graph:</a:t>
          </a:r>
        </a:p>
      </xdr:txBody>
    </xdr:sp>
    <xdr:clientData/>
  </xdr:twoCellAnchor>
  <xdr:twoCellAnchor>
    <xdr:from>
      <xdr:col>0</xdr:col>
      <xdr:colOff>1438275</xdr:colOff>
      <xdr:row>62</xdr:row>
      <xdr:rowOff>25400</xdr:rowOff>
    </xdr:from>
    <xdr:to>
      <xdr:col>4</xdr:col>
      <xdr:colOff>244475</xdr:colOff>
      <xdr:row>77</xdr:row>
      <xdr:rowOff>6350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A2DD30D-41A2-667E-FB86-6709F1FC2D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1422400</xdr:colOff>
      <xdr:row>54</xdr:row>
      <xdr:rowOff>6350</xdr:rowOff>
    </xdr:from>
    <xdr:to>
      <xdr:col>6</xdr:col>
      <xdr:colOff>1390650</xdr:colOff>
      <xdr:row>55</xdr:row>
      <xdr:rowOff>184150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CE7403D-445F-42C0-B038-1CA396C87BF4}"/>
            </a:ext>
          </a:extLst>
        </xdr:cNvPr>
        <xdr:cNvSpPr txBox="1"/>
      </xdr:nvSpPr>
      <xdr:spPr>
        <a:xfrm>
          <a:off x="7188200" y="11442700"/>
          <a:ext cx="2851150" cy="361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latin typeface="Segoe UI" panose="020B0502040204020203" pitchFamily="34" charset="0"/>
              <a:cs typeface="Segoe UI" panose="020B0502040204020203" pitchFamily="34" charset="0"/>
            </a:rPr>
            <a:t>BMI Graph:</a:t>
          </a:r>
        </a:p>
      </xdr:txBody>
    </xdr:sp>
    <xdr:clientData/>
  </xdr:twoCellAnchor>
  <xdr:twoCellAnchor>
    <xdr:from>
      <xdr:col>4</xdr:col>
      <xdr:colOff>1438275</xdr:colOff>
      <xdr:row>62</xdr:row>
      <xdr:rowOff>0</xdr:rowOff>
    </xdr:from>
    <xdr:to>
      <xdr:col>8</xdr:col>
      <xdr:colOff>244475</xdr:colOff>
      <xdr:row>76</xdr:row>
      <xdr:rowOff>165100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515E6FC-EED4-D26D-0BED-2A722A52A6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1DED-AAD6-4E5A-9461-71A3848D0B5D}">
  <sheetPr codeName="Sheet1"/>
  <dimension ref="B4:K61"/>
  <sheetViews>
    <sheetView tabSelected="1" workbookViewId="0">
      <selection activeCell="E12" sqref="E12"/>
    </sheetView>
  </sheetViews>
  <sheetFormatPr defaultRowHeight="14.5" x14ac:dyDescent="0.35"/>
  <cols>
    <col min="1" max="11" width="20.6328125" customWidth="1"/>
  </cols>
  <sheetData>
    <row r="4" spans="2:9" ht="15" thickBot="1" x14ac:dyDescent="0.4"/>
    <row r="5" spans="2:9" ht="20" customHeight="1" thickBot="1" x14ac:dyDescent="0.4">
      <c r="B5" s="3" t="s">
        <v>0</v>
      </c>
      <c r="C5" s="3" t="s">
        <v>1</v>
      </c>
      <c r="D5" s="3" t="s">
        <v>2</v>
      </c>
      <c r="E5" s="3" t="s">
        <v>4</v>
      </c>
      <c r="F5" s="3" t="s">
        <v>3</v>
      </c>
      <c r="G5" s="3" t="s">
        <v>13</v>
      </c>
      <c r="H5" s="3" t="s">
        <v>5</v>
      </c>
      <c r="I5" s="3" t="s">
        <v>6</v>
      </c>
    </row>
    <row r="6" spans="2:9" ht="20" customHeight="1" thickBot="1" x14ac:dyDescent="0.4">
      <c r="B6" s="1">
        <v>1</v>
      </c>
      <c r="C6" s="1" t="s">
        <v>7</v>
      </c>
      <c r="D6" s="1">
        <v>26</v>
      </c>
      <c r="E6" s="1">
        <v>174</v>
      </c>
      <c r="F6" s="1">
        <v>61</v>
      </c>
      <c r="G6" s="5">
        <f>F6 / POWER((E6 / 100), 2)</f>
        <v>20.147971991015986</v>
      </c>
      <c r="H6" s="1" t="s">
        <v>8</v>
      </c>
      <c r="I6" s="1" t="s">
        <v>9</v>
      </c>
    </row>
    <row r="7" spans="2:9" ht="20" customHeight="1" thickBot="1" x14ac:dyDescent="0.4">
      <c r="B7" s="1">
        <v>2</v>
      </c>
      <c r="C7" s="1" t="s">
        <v>7</v>
      </c>
      <c r="D7" s="1">
        <v>28</v>
      </c>
      <c r="E7" s="1">
        <v>172</v>
      </c>
      <c r="F7" s="1">
        <v>72</v>
      </c>
      <c r="G7" s="5">
        <f t="shared" ref="G7:G25" si="0">F7 / POWER((E7 / 100), 2)</f>
        <v>24.337479718766904</v>
      </c>
      <c r="H7" s="1" t="s">
        <v>8</v>
      </c>
      <c r="I7" s="1" t="s">
        <v>9</v>
      </c>
    </row>
    <row r="8" spans="2:9" ht="20" customHeight="1" thickBot="1" x14ac:dyDescent="0.4">
      <c r="B8" s="1">
        <v>3</v>
      </c>
      <c r="C8" s="1" t="s">
        <v>7</v>
      </c>
      <c r="D8" s="1">
        <v>29</v>
      </c>
      <c r="E8" s="1">
        <v>176</v>
      </c>
      <c r="F8" s="1">
        <v>74</v>
      </c>
      <c r="G8" s="5">
        <f t="shared" si="0"/>
        <v>23.889462809917354</v>
      </c>
      <c r="H8" s="1" t="s">
        <v>8</v>
      </c>
      <c r="I8" s="1" t="s">
        <v>9</v>
      </c>
    </row>
    <row r="9" spans="2:9" ht="20" customHeight="1" thickBot="1" x14ac:dyDescent="0.4">
      <c r="B9" s="1">
        <v>4</v>
      </c>
      <c r="C9" s="1" t="s">
        <v>10</v>
      </c>
      <c r="D9" s="1">
        <v>35</v>
      </c>
      <c r="E9" s="1">
        <v>180</v>
      </c>
      <c r="F9" s="1">
        <v>78</v>
      </c>
      <c r="G9" s="5">
        <f t="shared" si="0"/>
        <v>24.074074074074073</v>
      </c>
      <c r="H9" s="1" t="s">
        <v>8</v>
      </c>
      <c r="I9" s="1" t="s">
        <v>9</v>
      </c>
    </row>
    <row r="10" spans="2:9" ht="20" customHeight="1" thickBot="1" x14ac:dyDescent="0.4">
      <c r="B10" s="1">
        <v>5</v>
      </c>
      <c r="C10" s="1" t="s">
        <v>10</v>
      </c>
      <c r="D10" s="1">
        <v>70</v>
      </c>
      <c r="E10" s="1">
        <v>180</v>
      </c>
      <c r="F10" s="1">
        <v>98</v>
      </c>
      <c r="G10" s="5">
        <f t="shared" si="0"/>
        <v>30.246913580246911</v>
      </c>
      <c r="H10" s="1" t="s">
        <v>8</v>
      </c>
      <c r="I10" s="1" t="s">
        <v>9</v>
      </c>
    </row>
    <row r="11" spans="2:9" ht="20" customHeight="1" thickBot="1" x14ac:dyDescent="0.4">
      <c r="B11" s="1">
        <v>6</v>
      </c>
      <c r="C11" s="1" t="s">
        <v>7</v>
      </c>
      <c r="D11" s="1">
        <v>25</v>
      </c>
      <c r="E11" s="1">
        <v>163</v>
      </c>
      <c r="F11" s="1">
        <v>60</v>
      </c>
      <c r="G11" s="5">
        <f t="shared" si="0"/>
        <v>22.582709172343712</v>
      </c>
      <c r="H11" s="1" t="s">
        <v>8</v>
      </c>
      <c r="I11" s="1" t="s">
        <v>8</v>
      </c>
    </row>
    <row r="12" spans="2:9" ht="20" customHeight="1" thickBot="1" x14ac:dyDescent="0.4">
      <c r="B12" s="1">
        <v>7</v>
      </c>
      <c r="C12" s="1" t="s">
        <v>10</v>
      </c>
      <c r="D12" s="1">
        <v>23</v>
      </c>
      <c r="E12" s="1"/>
      <c r="F12" s="1">
        <v>63</v>
      </c>
      <c r="G12" s="5" t="e">
        <f t="shared" si="0"/>
        <v>#DIV/0!</v>
      </c>
      <c r="H12" s="1" t="s">
        <v>8</v>
      </c>
      <c r="I12" s="1" t="s">
        <v>9</v>
      </c>
    </row>
    <row r="13" spans="2:9" ht="20" customHeight="1" thickBot="1" x14ac:dyDescent="0.4">
      <c r="B13" s="1">
        <v>8</v>
      </c>
      <c r="C13" s="1" t="s">
        <v>10</v>
      </c>
      <c r="D13" s="1">
        <v>25</v>
      </c>
      <c r="E13" s="1">
        <v>176</v>
      </c>
      <c r="F13" s="1">
        <v>85</v>
      </c>
      <c r="G13" s="5">
        <f t="shared" si="0"/>
        <v>27.440599173553721</v>
      </c>
      <c r="H13" s="1" t="s">
        <v>9</v>
      </c>
      <c r="I13" s="1" t="s">
        <v>9</v>
      </c>
    </row>
    <row r="14" spans="2:9" ht="20" customHeight="1" thickBot="1" x14ac:dyDescent="0.4">
      <c r="B14" s="1">
        <v>9</v>
      </c>
      <c r="C14" s="1" t="s">
        <v>10</v>
      </c>
      <c r="D14" s="1">
        <v>37</v>
      </c>
      <c r="E14" s="1">
        <v>195</v>
      </c>
      <c r="F14" s="1">
        <v>95</v>
      </c>
      <c r="G14" s="5">
        <f t="shared" si="0"/>
        <v>24.983563445101908</v>
      </c>
      <c r="H14" s="1" t="s">
        <v>8</v>
      </c>
      <c r="I14" s="1" t="s">
        <v>9</v>
      </c>
    </row>
    <row r="15" spans="2:9" ht="20" customHeight="1" thickBot="1" x14ac:dyDescent="0.4">
      <c r="B15" s="1">
        <v>10</v>
      </c>
      <c r="C15" s="1" t="s">
        <v>7</v>
      </c>
      <c r="D15" s="1">
        <v>26</v>
      </c>
      <c r="E15" s="1">
        <v>160</v>
      </c>
      <c r="F15" s="1">
        <v>80</v>
      </c>
      <c r="G15" s="5">
        <f t="shared" si="0"/>
        <v>31.249999999999993</v>
      </c>
      <c r="H15" s="1" t="s">
        <v>8</v>
      </c>
      <c r="I15" s="1" t="s">
        <v>8</v>
      </c>
    </row>
    <row r="16" spans="2:9" ht="20" customHeight="1" thickBot="1" x14ac:dyDescent="0.4">
      <c r="B16" s="1">
        <v>11</v>
      </c>
      <c r="C16" s="1" t="s">
        <v>10</v>
      </c>
      <c r="D16" s="1">
        <v>37</v>
      </c>
      <c r="E16" s="1">
        <v>172</v>
      </c>
      <c r="F16" s="1">
        <v>75</v>
      </c>
      <c r="G16" s="5">
        <f t="shared" si="0"/>
        <v>25.351541373715524</v>
      </c>
      <c r="H16" s="1" t="s">
        <v>8</v>
      </c>
      <c r="I16" s="1" t="s">
        <v>9</v>
      </c>
    </row>
    <row r="17" spans="2:11" ht="20" customHeight="1" thickBot="1" x14ac:dyDescent="0.4">
      <c r="B17" s="1">
        <v>12</v>
      </c>
      <c r="C17" s="1" t="s">
        <v>10</v>
      </c>
      <c r="D17" s="1">
        <v>29</v>
      </c>
      <c r="E17" s="1">
        <v>188</v>
      </c>
      <c r="F17" s="1">
        <v>85</v>
      </c>
      <c r="G17" s="5">
        <f t="shared" si="0"/>
        <v>24.049343594386603</v>
      </c>
      <c r="H17" s="1" t="s">
        <v>8</v>
      </c>
      <c r="I17" s="1" t="s">
        <v>9</v>
      </c>
    </row>
    <row r="18" spans="2:11" ht="20" customHeight="1" thickBot="1" x14ac:dyDescent="0.4">
      <c r="B18" s="1">
        <v>13</v>
      </c>
      <c r="C18" s="1" t="s">
        <v>7</v>
      </c>
      <c r="D18" s="1">
        <v>27</v>
      </c>
      <c r="E18" s="1">
        <v>160</v>
      </c>
      <c r="F18" s="1">
        <v>60</v>
      </c>
      <c r="G18" s="5">
        <f t="shared" si="0"/>
        <v>23.437499999999996</v>
      </c>
      <c r="H18" s="1" t="s">
        <v>8</v>
      </c>
      <c r="I18" s="1" t="s">
        <v>9</v>
      </c>
    </row>
    <row r="19" spans="2:11" ht="20" customHeight="1" thickBot="1" x14ac:dyDescent="0.4">
      <c r="B19" s="1">
        <v>14</v>
      </c>
      <c r="C19" s="1" t="s">
        <v>7</v>
      </c>
      <c r="D19" s="1">
        <v>23</v>
      </c>
      <c r="E19" s="1">
        <v>172</v>
      </c>
      <c r="F19" s="1">
        <v>68</v>
      </c>
      <c r="G19" s="5">
        <f t="shared" si="0"/>
        <v>22.985397512168742</v>
      </c>
      <c r="H19" s="1" t="s">
        <v>8</v>
      </c>
      <c r="I19" s="1" t="s">
        <v>9</v>
      </c>
    </row>
    <row r="20" spans="2:11" ht="20" customHeight="1" thickBot="1" x14ac:dyDescent="0.4">
      <c r="B20" s="1">
        <v>15</v>
      </c>
      <c r="C20" s="1" t="s">
        <v>10</v>
      </c>
      <c r="D20" s="1">
        <v>24</v>
      </c>
      <c r="E20" s="1">
        <v>175</v>
      </c>
      <c r="F20" s="1">
        <v>109</v>
      </c>
      <c r="G20" s="5">
        <f t="shared" si="0"/>
        <v>35.591836734693878</v>
      </c>
      <c r="H20" s="1" t="s">
        <v>8</v>
      </c>
      <c r="I20" s="1" t="s">
        <v>9</v>
      </c>
    </row>
    <row r="21" spans="2:11" ht="20" customHeight="1" thickBot="1" x14ac:dyDescent="0.4">
      <c r="B21" s="1">
        <v>16</v>
      </c>
      <c r="C21" s="1" t="s">
        <v>7</v>
      </c>
      <c r="D21" s="1">
        <v>31</v>
      </c>
      <c r="E21" s="1">
        <v>154</v>
      </c>
      <c r="F21" s="1">
        <v>63</v>
      </c>
      <c r="G21" s="5">
        <f t="shared" si="0"/>
        <v>26.564344746162927</v>
      </c>
      <c r="H21" s="1" t="s">
        <v>8</v>
      </c>
      <c r="I21" s="1" t="s">
        <v>9</v>
      </c>
    </row>
    <row r="22" spans="2:11" ht="20" customHeight="1" thickBot="1" x14ac:dyDescent="0.4">
      <c r="B22" s="1">
        <v>17</v>
      </c>
      <c r="C22" s="1" t="s">
        <v>10</v>
      </c>
      <c r="D22" s="1">
        <v>19</v>
      </c>
      <c r="E22" s="1">
        <v>170</v>
      </c>
      <c r="F22" s="1">
        <v>61</v>
      </c>
      <c r="G22" s="5">
        <f t="shared" si="0"/>
        <v>21.107266435986162</v>
      </c>
      <c r="H22" s="1" t="s">
        <v>8</v>
      </c>
      <c r="I22" s="1" t="s">
        <v>9</v>
      </c>
    </row>
    <row r="23" spans="2:11" ht="20" customHeight="1" thickBot="1" x14ac:dyDescent="0.4">
      <c r="B23" s="1">
        <v>18</v>
      </c>
      <c r="C23" s="1" t="s">
        <v>7</v>
      </c>
      <c r="D23" s="1">
        <v>25</v>
      </c>
      <c r="E23" s="1">
        <v>169</v>
      </c>
      <c r="F23" s="1">
        <v>58</v>
      </c>
      <c r="G23" s="5">
        <f t="shared" si="0"/>
        <v>20.307412205454995</v>
      </c>
      <c r="H23" s="1" t="s">
        <v>8</v>
      </c>
      <c r="I23" s="1" t="s">
        <v>9</v>
      </c>
    </row>
    <row r="24" spans="2:11" ht="20" customHeight="1" thickBot="1" x14ac:dyDescent="0.4">
      <c r="B24" s="1">
        <v>19</v>
      </c>
      <c r="C24" s="1" t="s">
        <v>10</v>
      </c>
      <c r="D24" s="1">
        <v>25</v>
      </c>
      <c r="E24" s="1">
        <v>186</v>
      </c>
      <c r="F24" s="1">
        <v>84</v>
      </c>
      <c r="G24" s="5">
        <f t="shared" si="0"/>
        <v>24.280263614290668</v>
      </c>
      <c r="H24" s="1" t="s">
        <v>8</v>
      </c>
      <c r="I24" s="1" t="s">
        <v>9</v>
      </c>
    </row>
    <row r="25" spans="2:11" ht="20" customHeight="1" thickBot="1" x14ac:dyDescent="0.4">
      <c r="B25" s="1">
        <v>20</v>
      </c>
      <c r="C25" s="1" t="s">
        <v>7</v>
      </c>
      <c r="D25" s="1">
        <v>21</v>
      </c>
      <c r="E25" s="1">
        <v>163</v>
      </c>
      <c r="F25" s="1">
        <v>59</v>
      </c>
      <c r="G25" s="5">
        <f t="shared" si="0"/>
        <v>22.206330686137981</v>
      </c>
      <c r="H25" s="1" t="s">
        <v>8</v>
      </c>
      <c r="I25" s="1" t="s">
        <v>9</v>
      </c>
    </row>
    <row r="31" spans="2:11" ht="15" thickBot="1" x14ac:dyDescent="0.4"/>
    <row r="32" spans="2:11" ht="15" thickBot="1" x14ac:dyDescent="0.4">
      <c r="B32" s="3" t="s">
        <v>11</v>
      </c>
      <c r="C32" s="3" t="s">
        <v>12</v>
      </c>
      <c r="F32" s="3" t="s">
        <v>14</v>
      </c>
      <c r="G32" s="3" t="s">
        <v>15</v>
      </c>
      <c r="J32" s="3" t="s">
        <v>14</v>
      </c>
      <c r="K32" s="3" t="s">
        <v>15</v>
      </c>
    </row>
    <row r="33" spans="2:11" ht="15" thickBot="1" x14ac:dyDescent="0.4">
      <c r="B33" s="2">
        <f>COUNTIF(C6:C25, "male")  /  COUNTA(C6:C25)</f>
        <v>0.5</v>
      </c>
      <c r="C33" s="2">
        <f>COUNTIF(C6:C25, "female")  /  COUNTA(C6:C25)</f>
        <v>0.5</v>
      </c>
      <c r="F33" s="2">
        <f>COUNTIF(H6:H25, "left")  /  COUNTA(H6:H25)</f>
        <v>0.05</v>
      </c>
      <c r="G33" s="2">
        <f>COUNTIF(H6:H25, "right")  /  COUNTA(H6:H25)</f>
        <v>0.95</v>
      </c>
      <c r="J33" s="2">
        <f>COUNTIF(I6:I25, "left")  /  COUNTA(I6:I25)</f>
        <v>0.9</v>
      </c>
      <c r="K33" s="2">
        <f>COUNTIF(I6:I25, "right")  /  COUNTA(I6:I25)</f>
        <v>0.1</v>
      </c>
    </row>
    <row r="56" spans="2:7" ht="15" thickBot="1" x14ac:dyDescent="0.4"/>
    <row r="57" spans="2:7" ht="15" thickBot="1" x14ac:dyDescent="0.4">
      <c r="B57" s="3" t="s">
        <v>16</v>
      </c>
      <c r="C57" s="3" t="s">
        <v>17</v>
      </c>
      <c r="F57" s="3" t="s">
        <v>13</v>
      </c>
      <c r="G57" s="3" t="s">
        <v>17</v>
      </c>
    </row>
    <row r="58" spans="2:7" ht="15" thickBot="1" x14ac:dyDescent="0.4">
      <c r="B58" s="4" t="s">
        <v>18</v>
      </c>
      <c r="C58" s="4">
        <f>COUNTIFS(D6:D25, "&gt;= 18", D6:D25, "&lt;= 30")</f>
        <v>15</v>
      </c>
      <c r="F58" s="4" t="s">
        <v>21</v>
      </c>
      <c r="G58" s="4">
        <f>COUNTIFS(G6:G25, "&lt;= 18.5")</f>
        <v>0</v>
      </c>
    </row>
    <row r="59" spans="2:7" ht="15" thickBot="1" x14ac:dyDescent="0.4">
      <c r="B59" s="4" t="s">
        <v>19</v>
      </c>
      <c r="C59" s="4">
        <f>COUNTIFS(D7:D26, "&gt; 30", D7:D26, "&lt;= 50")</f>
        <v>4</v>
      </c>
      <c r="F59" s="4" t="s">
        <v>22</v>
      </c>
      <c r="G59" s="4">
        <f>COUNTIFS(G6:G25, "&gt; 18.5", G6:G25, "&lt;= 25")</f>
        <v>13</v>
      </c>
    </row>
    <row r="60" spans="2:7" ht="15" thickBot="1" x14ac:dyDescent="0.4">
      <c r="B60" s="4" t="s">
        <v>20</v>
      </c>
      <c r="C60" s="4">
        <f>COUNTIFS(D8:D27, "&gt; 50", D8:D27, "&lt;= 70")</f>
        <v>1</v>
      </c>
      <c r="F60" s="4" t="s">
        <v>23</v>
      </c>
      <c r="G60" s="4">
        <f>COUNTIFS(G6:G25, "&gt; 25", G6:G25, "&lt;= 30")</f>
        <v>3</v>
      </c>
    </row>
    <row r="61" spans="2:7" ht="15" thickBot="1" x14ac:dyDescent="0.4">
      <c r="F61" s="4" t="s">
        <v>24</v>
      </c>
      <c r="G61" s="4">
        <f>COUNTIFS(G6:G25, "&gt; 30")</f>
        <v>3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Nassim YAICI</dc:creator>
  <cp:lastModifiedBy>Nassim YAICI</cp:lastModifiedBy>
  <dcterms:created xsi:type="dcterms:W3CDTF">2024-04-07T13:51:59Z</dcterms:created>
  <dcterms:modified xsi:type="dcterms:W3CDTF">2024-04-07T16:34:34Z</dcterms:modified>
</cp:coreProperties>
</file>